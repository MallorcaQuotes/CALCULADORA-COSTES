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#,##0.00 €/m²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0" customWidth="1" min="3" max="3"/>
    <col width="20" customWidth="1" min="4" max="4"/>
  </cols>
  <sheetData>
    <row r="1">
      <c r="A1" s="1" t="inlineStr">
        <is>
          <t>CALCULADORA INTELIGENTE DE COSTE DE VIVIENDA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DATOS DE LA VIVIENDA</t>
        </is>
      </c>
      <c r="B3" s="2" t="n"/>
      <c r="C3" s="2" t="n"/>
      <c r="D3" s="2" t="n"/>
    </row>
    <row r="4">
      <c r="A4" s="2" t="inlineStr">
        <is>
          <t>M² construidos</t>
        </is>
      </c>
      <c r="B4" s="4" t="n">
        <v>100</v>
      </c>
      <c r="C4" s="2" t="n"/>
      <c r="D4" s="2" t="n"/>
    </row>
    <row r="5">
      <c r="A5" s="2" t="inlineStr">
        <is>
          <t>Número de plantas</t>
        </is>
      </c>
      <c r="B5" s="4" t="n">
        <v>2</v>
      </c>
      <c r="C5" s="2" t="n"/>
      <c r="D5" s="2" t="n"/>
    </row>
    <row r="6">
      <c r="A6" s="2" t="inlineStr">
        <is>
          <t>Habitaciones</t>
        </is>
      </c>
      <c r="B6" s="4" t="n">
        <v>2</v>
      </c>
      <c r="C6" s="2" t="n"/>
      <c r="D6" s="2" t="n"/>
    </row>
    <row r="7">
      <c r="A7" s="2" t="inlineStr">
        <is>
          <t>Baños</t>
        </is>
      </c>
      <c r="B7" s="4" t="n">
        <v>2</v>
      </c>
      <c r="C7" s="2" t="n"/>
      <c r="D7" s="2" t="n"/>
    </row>
    <row r="8">
      <c r="A8" s="2" t="inlineStr">
        <is>
          <t>Calidad (Básica/Media/Alta)</t>
        </is>
      </c>
      <c r="B8" s="4" t="inlineStr">
        <is>
          <t>Media</t>
        </is>
      </c>
      <c r="C8" s="2" t="n"/>
      <c r="D8" s="2" t="n"/>
    </row>
    <row r="9">
      <c r="A9" s="2" t="inlineStr">
        <is>
          <t>Climatización (Convencional/Aerotermia/Aerotermia + suelo radiante)</t>
        </is>
      </c>
      <c r="B9" s="4" t="inlineStr">
        <is>
          <t>Aerotermia + suelo radiante</t>
        </is>
      </c>
      <c r="C9" s="2" t="n"/>
      <c r="D9" s="2" t="n"/>
    </row>
    <row r="10">
      <c r="A10" s="2" t="inlineStr">
        <is>
          <t>Domótica (Sí/No)</t>
        </is>
      </c>
      <c r="B10" s="4" t="inlineStr">
        <is>
          <t>No</t>
        </is>
      </c>
      <c r="C10" s="2" t="n"/>
      <c r="D10" s="2" t="n"/>
    </row>
    <row r="11">
      <c r="A11" s="2" t="inlineStr">
        <is>
          <t>Piscina (Sin piscina/Pequeña/Mediana/Grande)</t>
        </is>
      </c>
      <c r="B11" s="4" t="inlineStr">
        <is>
          <t>Mediana</t>
        </is>
      </c>
      <c r="C11" s="2" t="n"/>
      <c r="D11" s="2" t="n"/>
    </row>
    <row r="12">
      <c r="A12" s="2" t="inlineStr">
        <is>
          <t>Plazas aparcamiento exterior</t>
        </is>
      </c>
      <c r="B12" s="4" t="n">
        <v>0</v>
      </c>
      <c r="C12" s="2" t="n"/>
      <c r="D12" s="2" t="n"/>
    </row>
    <row r="13">
      <c r="A13" s="2" t="inlineStr">
        <is>
          <t>M² exterior/jardín</t>
        </is>
      </c>
      <c r="B13" s="4" t="n">
        <v>0</v>
      </c>
      <c r="C13" s="2" t="n"/>
      <c r="D13" s="2" t="n"/>
    </row>
    <row r="14">
      <c r="A14" s="2" t="inlineStr">
        <is>
          <t>Proyecto/licencias (Sí/No)</t>
        </is>
      </c>
      <c r="B14" s="4" t="inlineStr">
        <is>
          <t>No</t>
        </is>
      </c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3" t="inlineStr">
        <is>
          <t>RESUMEN POR PARTIDAS</t>
        </is>
      </c>
      <c r="B17" s="2" t="n"/>
      <c r="C17" s="2" t="n"/>
      <c r="D17" s="2" t="n"/>
    </row>
    <row r="18">
      <c r="A18" s="5" t="inlineStr">
        <is>
          <t>Partida</t>
        </is>
      </c>
      <c r="B18" s="5" t="inlineStr">
        <is>
          <t>Base cálculo</t>
        </is>
      </c>
      <c r="C18" s="5" t="inlineStr">
        <is>
          <t>Precio</t>
        </is>
      </c>
      <c r="D18" s="5" t="inlineStr">
        <is>
          <t>Total</t>
        </is>
      </c>
    </row>
    <row r="19">
      <c r="A19" s="2" t="inlineStr">
        <is>
          <t>Excavación</t>
        </is>
      </c>
      <c r="B19" s="6">
        <f>$B$4</f>
        <v/>
      </c>
      <c r="C19" s="7">
        <f>INDEX(Precios!$B$4:$D$26,MATCH("Excavación €/m²",Precios!$A$4:$A$26,0),MATCH($B$8,{"Básica","Media","Alta"},0))</f>
        <v/>
      </c>
      <c r="D19" s="7">
        <f>B19*C19</f>
        <v/>
      </c>
    </row>
    <row r="20">
      <c r="A20" s="2" t="inlineStr">
        <is>
          <t>Estructura</t>
        </is>
      </c>
      <c r="B20" s="6">
        <f>$B$4</f>
        <v/>
      </c>
      <c r="C20" s="7">
        <f>INDEX(Precios!$B$4:$D$26,MATCH("Estructura €/m²",Precios!$A$4:$A$26,0),MATCH($B$8,{"Básica","Media","Alta"},0))</f>
        <v/>
      </c>
      <c r="D20" s="7">
        <f>B20*C20</f>
        <v/>
      </c>
    </row>
    <row r="21">
      <c r="A21" s="2" t="inlineStr">
        <is>
          <t>Cubierta</t>
        </is>
      </c>
      <c r="B21" s="6">
        <f>($B$4/$B$5)*1.3</f>
        <v/>
      </c>
      <c r="C21" s="7">
        <f>INDEX(Precios!$B$4:$D$26,MATCH("Cubierta €/m²",Precios!$A$4:$A$26,0),MATCH($B$8,{"Básica","Media","Alta"},0))</f>
        <v/>
      </c>
      <c r="D21" s="7">
        <f>B21*C21</f>
        <v/>
      </c>
    </row>
    <row r="22">
      <c r="A22" s="2" t="inlineStr">
        <is>
          <t>Fachada</t>
        </is>
      </c>
      <c r="B22" s="6">
        <f>4*SQRT($B$4/$B$5)*3*$B$5</f>
        <v/>
      </c>
      <c r="C22" s="7">
        <f>INDEX(Precios!$B$4:$D$26,MATCH("Fachada €/m²",Precios!$A$4:$A$26,0),MATCH($B$8,{"Básica","Media","Alta"},0))</f>
        <v/>
      </c>
      <c r="D22" s="7">
        <f>B22*C22</f>
        <v/>
      </c>
    </row>
    <row r="23">
      <c r="A23" s="2" t="inlineStr">
        <is>
          <t>Tabiquería</t>
        </is>
      </c>
      <c r="B23" s="6">
        <f>$B$4*2.5</f>
        <v/>
      </c>
      <c r="C23" s="7">
        <f>INDEX(Precios!$B$4:$D$26,MATCH("Tabiquería €/m²",Precios!$A$4:$A$26,0),MATCH($B$8,{"Básica","Media","Alta"},0))</f>
        <v/>
      </c>
      <c r="D23" s="7">
        <f>B23*C23</f>
        <v/>
      </c>
    </row>
    <row r="24">
      <c r="A24" s="2" t="inlineStr">
        <is>
          <t>Acabados paredes</t>
        </is>
      </c>
      <c r="B24" s="6">
        <f>$B$4*2.5</f>
        <v/>
      </c>
      <c r="C24" s="7">
        <f>INDEX(Precios!$B$4:$D$26,MATCH("Acabados paredes €/m²",Precios!$A$4:$A$26,0),MATCH($B$8,{"Básica","Media","Alta"},0))</f>
        <v/>
      </c>
      <c r="D24" s="7">
        <f>B24*C24</f>
        <v/>
      </c>
    </row>
    <row r="25">
      <c r="A25" s="2" t="inlineStr">
        <is>
          <t>Suelos</t>
        </is>
      </c>
      <c r="B25" s="6">
        <f>$B$4</f>
        <v/>
      </c>
      <c r="C25" s="7">
        <f>INDEX(Precios!$B$4:$D$26,MATCH("Suelos €/m²",Precios!$A$4:$A$26,0),MATCH($B$8,{"Básica","Media","Alta"},0))</f>
        <v/>
      </c>
      <c r="D25" s="7">
        <f>B25*C25</f>
        <v/>
      </c>
    </row>
    <row r="26">
      <c r="A26" s="2" t="inlineStr">
        <is>
          <t>Electricidad</t>
        </is>
      </c>
      <c r="B26" s="6">
        <f>$B$4</f>
        <v/>
      </c>
      <c r="C26" s="7">
        <f>INDEX(Precios!$B$4:$D$26,MATCH("Electricidad €/m²",Precios!$A$4:$A$26,0),MATCH($B$8,{"Básica","Media","Alta"},0))</f>
        <v/>
      </c>
      <c r="D26" s="7">
        <f>B26*C26</f>
        <v/>
      </c>
    </row>
    <row r="27">
      <c r="A27" s="2" t="inlineStr">
        <is>
          <t>Fontanería</t>
        </is>
      </c>
      <c r="B27" s="6">
        <f>$B$4</f>
        <v/>
      </c>
      <c r="C27" s="7">
        <f>INDEX(Precios!$B$4:$D$26,MATCH("Fontanería €/m²",Precios!$A$4:$A$26,0),MATCH($B$8,{"Básica","Media","Alta"},0))</f>
        <v/>
      </c>
      <c r="D27" s="7">
        <f>B27*C27</f>
        <v/>
      </c>
    </row>
    <row r="28">
      <c r="A28" s="2" t="inlineStr">
        <is>
          <t>Ventanas + persianas</t>
        </is>
      </c>
      <c r="B28" s="6">
        <f>($B$6+$B$7+2)*1.4</f>
        <v/>
      </c>
      <c r="C28" s="7">
        <f>INDEX(Precios!$B$4:$D$26,MATCH("Ventana base €/ud",Precios!$A$4:$A$26,0),MATCH($B$8,{"Básica","Media","Alta"},0))</f>
        <v/>
      </c>
      <c r="D28" s="7">
        <f>B28*C28</f>
        <v/>
      </c>
    </row>
    <row r="29">
      <c r="A29" s="2" t="inlineStr">
        <is>
          <t>Cristalera salón</t>
        </is>
      </c>
      <c r="B29" s="6">
        <f>1</f>
        <v/>
      </c>
      <c r="C29" s="7">
        <f>INDEX(Precios!$B$4:$D$26,MATCH("Cristalera salón €/ud",Precios!$A$4:$A$26,0),MATCH($B$8,{"Básica","Media","Alta"},0))</f>
        <v/>
      </c>
      <c r="D29" s="7">
        <f>B29*C29</f>
        <v/>
      </c>
    </row>
    <row r="30">
      <c r="A30" s="2" t="inlineStr">
        <is>
          <t>Puertas interiores</t>
        </is>
      </c>
      <c r="B30" s="6">
        <f>$B$6+$B$7+3</f>
        <v/>
      </c>
      <c r="C30" s="7">
        <f>INDEX(Precios!$B$4:$D$26,MATCH("Puerta interior €/ud",Precios!$A$4:$A$26,0),MATCH($B$8,{"Básica","Media","Alta"},0))</f>
        <v/>
      </c>
      <c r="D30" s="7">
        <f>B30*C30</f>
        <v/>
      </c>
    </row>
    <row r="31">
      <c r="A31" s="2" t="inlineStr">
        <is>
          <t>Puerta principal</t>
        </is>
      </c>
      <c r="B31" s="6">
        <f>1</f>
        <v/>
      </c>
      <c r="C31" s="7">
        <f>INDEX(Precios!$B$4:$D$26,MATCH("Puerta principal €/ud",Precios!$A$4:$A$26,0),MATCH($B$8,{"Básica","Media","Alta"},0))</f>
        <v/>
      </c>
      <c r="D31" s="7">
        <f>B31*C31</f>
        <v/>
      </c>
    </row>
    <row r="32">
      <c r="A32" s="2" t="inlineStr">
        <is>
          <t>Baños</t>
        </is>
      </c>
      <c r="B32" s="6">
        <f>$B$7</f>
        <v/>
      </c>
      <c r="C32" s="7">
        <f>INDEX(Precios!$B$4:$D$26,MATCH("Baño €/ud",Precios!$A$4:$A$26,0),MATCH($B$8,{"Básica","Media","Alta"},0))</f>
        <v/>
      </c>
      <c r="D32" s="7">
        <f>B32*C32</f>
        <v/>
      </c>
    </row>
    <row r="33">
      <c r="A33" s="2" t="inlineStr">
        <is>
          <t>Cocina</t>
        </is>
      </c>
      <c r="B33" s="6">
        <f>1</f>
        <v/>
      </c>
      <c r="C33" s="7">
        <f>INDEX(Precios!$B$4:$D$26,MATCH("Cocina €/ud",Precios!$A$4:$A$26,0),MATCH($B$8,{"Básica","Media","Alta"},0))</f>
        <v/>
      </c>
      <c r="D33" s="7">
        <f>B33*C33</f>
        <v/>
      </c>
    </row>
    <row r="34">
      <c r="A34" s="2" t="inlineStr">
        <is>
          <t>Climatización</t>
        </is>
      </c>
      <c r="B34" s="6">
        <f>$B$4</f>
        <v/>
      </c>
      <c r="C34" s="7">
        <f>IF($B$9="Convencional",=INDEX(Precios!$B$4:$D$26,MATCH("Climatización convencional €/m²",Precios!$A$4:$A$26,0),MATCH($B$8,{"Básica","Media","Alta"},0)),IF($B$9="Aerotermia",=INDEX(Precios!$B$4:$D$26,MATCH("Aerotermia €/m²",Precios!$A$4:$A$26,0),MATCH($B$8,{"Básica","Media","Alta"},0)),=INDEX(Precios!$B$4:$D$26,MATCH("Aerotermia + suelo radiante €/m²",Precios!$A$4:$A$26,0),MATCH($B$8,{"Básica","Media","Alta"},0))))</f>
        <v/>
      </c>
      <c r="D34" s="7">
        <f>B34*C34</f>
        <v/>
      </c>
    </row>
    <row r="35">
      <c r="A35" s="2" t="inlineStr">
        <is>
          <t>Domótica</t>
        </is>
      </c>
      <c r="B35" s="6">
        <f>IF($B$10="Sí",1,0)</f>
        <v/>
      </c>
      <c r="C35" s="7">
        <f>INDEX(Precios!$B$4:$D$26,MATCH("Domótica €/ud",Precios!$A$4:$A$26,0),MATCH($B$8,{"Básica","Media","Alta"},0))</f>
        <v/>
      </c>
      <c r="D35" s="7">
        <f>B35*C35</f>
        <v/>
      </c>
    </row>
    <row r="36">
      <c r="A36" s="2" t="inlineStr">
        <is>
          <t>Piscina</t>
        </is>
      </c>
      <c r="B36" s="6">
        <f>IF($B$11="Pequeña",6,IF($B$11="Mediana",12,IF($B$11="Grande",20,0)))</f>
        <v/>
      </c>
      <c r="C36" s="7">
        <f>INDEX(Precios!$B$4:$D$26,MATCH("Piscina €/m² lámina",Precios!$A$4:$A$26,0),MATCH($B$8,{"Básica","Media","Alta"},0))</f>
        <v/>
      </c>
      <c r="D36" s="7">
        <f>B36*C36</f>
        <v/>
      </c>
    </row>
    <row r="37">
      <c r="A37" s="2" t="inlineStr">
        <is>
          <t>Jardín/exterior</t>
        </is>
      </c>
      <c r="B37" s="6">
        <f>$B$13</f>
        <v/>
      </c>
      <c r="C37" s="7">
        <f>INDEX(Precios!$B$4:$D$26,MATCH("Jardín/exterior €/m²",Precios!$A$4:$A$26,0),MATCH($B$8,{"Básica","Media","Alta"},0))</f>
        <v/>
      </c>
      <c r="D37" s="7">
        <f>B37*C37</f>
        <v/>
      </c>
    </row>
    <row r="38">
      <c r="A38" s="2" t="inlineStr">
        <is>
          <t>Aparcamiento exterior</t>
        </is>
      </c>
      <c r="B38" s="6">
        <f>$B$12</f>
        <v/>
      </c>
      <c r="C38" s="7">
        <f>INDEX(Precios!$B$4:$D$26,MATCH("Aparcamiento exterior €/plaza",Precios!$A$4:$A$26,0),MATCH($B$8,{"Básica","Media","Alta"},0))</f>
        <v/>
      </c>
      <c r="D38" s="7">
        <f>B38*C38</f>
        <v/>
      </c>
    </row>
    <row r="39">
      <c r="A39" s="2" t="inlineStr">
        <is>
          <t>Escaleras</t>
        </is>
      </c>
      <c r="B39" s="6">
        <f>MAX($B$5-1,0)</f>
        <v/>
      </c>
      <c r="C39" s="7">
        <f>INDEX(Precios!$B$4:$D$26,MATCH("Escalera €/tramo",Precios!$A$4:$A$26,0),MATCH($B$8,{"Básica","Media","Alta"},0))</f>
        <v/>
      </c>
      <c r="D39" s="7">
        <f>B39*C39</f>
        <v/>
      </c>
    </row>
    <row r="40">
      <c r="A40" s="8" t="inlineStr">
        <is>
          <t>COSTE BASE</t>
        </is>
      </c>
      <c r="B40" s="6" t="n"/>
      <c r="C40" s="9" t="n"/>
      <c r="D40" s="10">
        <f>SUM(D19:D39)</f>
        <v/>
      </c>
    </row>
    <row r="41">
      <c r="A41" s="8" t="inlineStr">
        <is>
          <t>IMPREVISTOS (5%)</t>
        </is>
      </c>
      <c r="B41" s="6" t="n"/>
      <c r="C41" s="9" t="n"/>
      <c r="D41" s="10">
        <f>D40*5%</f>
        <v/>
      </c>
    </row>
    <row r="42">
      <c r="A42" s="8" t="inlineStr">
        <is>
          <t>BENEFICIO (30% tras imprevistos)</t>
        </is>
      </c>
      <c r="B42" s="6" t="n"/>
      <c r="C42" s="9" t="n"/>
      <c r="D42" s="10">
        <f>(D40+D41)*30%</f>
        <v/>
      </c>
    </row>
    <row r="43">
      <c r="A43" s="8" t="inlineStr">
        <is>
          <t>TOTAL CONSTRUCCIÓN</t>
        </is>
      </c>
      <c r="B43" s="6" t="n"/>
      <c r="C43" s="9" t="n"/>
      <c r="D43" s="10">
        <f>D40+D41+D42</f>
        <v/>
      </c>
    </row>
    <row r="44">
      <c r="A44" s="8" t="inlineStr">
        <is>
          <t>PRECIO €/M²</t>
        </is>
      </c>
      <c r="B44" s="6" t="n"/>
      <c r="C44" s="9" t="n"/>
      <c r="D44" s="11">
        <f>D43/$B$4</f>
        <v/>
      </c>
    </row>
    <row r="45">
      <c r="A45" s="8" t="inlineStr">
        <is>
          <t>PROYECTO/ARQUITECTO/LICENCIAS (10% opcional)</t>
        </is>
      </c>
      <c r="B45" s="6" t="n"/>
      <c r="C45" s="9" t="n"/>
      <c r="D45" s="10">
        <f>IF($B$14="Sí",D43*10%,0)</f>
        <v/>
      </c>
    </row>
    <row r="46">
      <c r="A46" s="8" t="inlineStr">
        <is>
          <t>TOTAL + PROYECTO/LICENCIAS</t>
        </is>
      </c>
      <c r="B46" s="6" t="n"/>
      <c r="C46" s="9" t="n"/>
      <c r="D46" s="10">
        <f>D43+D45</f>
        <v/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0" customWidth="1" min="3" max="3"/>
    <col width="20" customWidth="1" min="4" max="4"/>
  </cols>
  <sheetData>
    <row r="1">
      <c r="A1" s="1" t="inlineStr">
        <is>
          <t>PRECIOS BASE REAJUSTADOS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Partida</t>
        </is>
      </c>
      <c r="B3" s="5" t="inlineStr">
        <is>
          <t>Básica</t>
        </is>
      </c>
      <c r="C3" s="5" t="inlineStr">
        <is>
          <t>Media</t>
        </is>
      </c>
      <c r="D3" s="5" t="inlineStr">
        <is>
          <t>Alta</t>
        </is>
      </c>
    </row>
    <row r="4">
      <c r="A4" s="2" t="inlineStr">
        <is>
          <t>Excavación €/m²</t>
        </is>
      </c>
      <c r="B4" s="9" t="n">
        <v>75.96250000000001</v>
      </c>
      <c r="C4" s="9" t="n">
        <v>72.92400000000001</v>
      </c>
      <c r="D4" s="9" t="n">
        <v>69.88549999999999</v>
      </c>
    </row>
    <row r="5">
      <c r="A5" s="2" t="inlineStr">
        <is>
          <t>Estructura €/m²</t>
        </is>
      </c>
      <c r="B5" s="9" t="n">
        <v>625</v>
      </c>
      <c r="C5" s="9" t="n">
        <v>720</v>
      </c>
      <c r="D5" s="9" t="n">
        <v>862.4999999999999</v>
      </c>
    </row>
    <row r="6">
      <c r="A6" s="2" t="inlineStr">
        <is>
          <t>Cubierta €/m²</t>
        </is>
      </c>
      <c r="B6" s="9" t="n">
        <v>100</v>
      </c>
      <c r="C6" s="9" t="n">
        <v>120</v>
      </c>
      <c r="D6" s="9" t="n">
        <v>149.5</v>
      </c>
    </row>
    <row r="7">
      <c r="A7" s="2" t="inlineStr">
        <is>
          <t>Fachada €/m²</t>
        </is>
      </c>
      <c r="B7" s="9" t="n">
        <v>150</v>
      </c>
      <c r="C7" s="9" t="n">
        <v>180</v>
      </c>
      <c r="D7" s="9" t="n">
        <v>230</v>
      </c>
    </row>
    <row r="8">
      <c r="A8" s="2" t="inlineStr">
        <is>
          <t>Tabiquería €/m²</t>
        </is>
      </c>
      <c r="B8" s="9" t="n">
        <v>56.25</v>
      </c>
      <c r="C8" s="9" t="n">
        <v>84</v>
      </c>
      <c r="D8" s="9" t="n">
        <v>103.5</v>
      </c>
    </row>
    <row r="9">
      <c r="A9" s="2" t="inlineStr">
        <is>
          <t>Acabados paredes €/m²</t>
        </is>
      </c>
      <c r="B9" s="9" t="n">
        <v>87.5</v>
      </c>
      <c r="C9" s="9" t="n">
        <v>144</v>
      </c>
      <c r="D9" s="9" t="n">
        <v>195.5</v>
      </c>
    </row>
    <row r="10">
      <c r="A10" s="2" t="inlineStr">
        <is>
          <t>Suelos €/m²</t>
        </is>
      </c>
      <c r="B10" s="9" t="n">
        <v>125</v>
      </c>
      <c r="C10" s="9" t="n">
        <v>144</v>
      </c>
      <c r="D10" s="9" t="n">
        <v>184</v>
      </c>
    </row>
    <row r="11">
      <c r="A11" s="2" t="inlineStr">
        <is>
          <t>Electricidad €/m²</t>
        </is>
      </c>
      <c r="B11" s="9" t="n">
        <v>93.75</v>
      </c>
      <c r="C11" s="9" t="n">
        <v>108</v>
      </c>
      <c r="D11" s="9" t="n">
        <v>138</v>
      </c>
    </row>
    <row r="12">
      <c r="A12" s="2" t="inlineStr">
        <is>
          <t>Fontanería €/m²</t>
        </is>
      </c>
      <c r="B12" s="9" t="n">
        <v>87.5</v>
      </c>
      <c r="C12" s="9" t="n">
        <v>108</v>
      </c>
      <c r="D12" s="9" t="n">
        <v>138</v>
      </c>
    </row>
    <row r="13">
      <c r="A13" s="2" t="inlineStr">
        <is>
          <t>Ventana base €/ud</t>
        </is>
      </c>
      <c r="B13" s="9" t="n">
        <v>437.5</v>
      </c>
      <c r="C13" s="9" t="n">
        <v>480</v>
      </c>
      <c r="D13" s="9" t="n">
        <v>517.5</v>
      </c>
    </row>
    <row r="14">
      <c r="A14" s="2" t="inlineStr">
        <is>
          <t>Cristalera salón €/ud</t>
        </is>
      </c>
      <c r="B14" s="9" t="n">
        <v>7500</v>
      </c>
      <c r="C14" s="9" t="n">
        <v>9600</v>
      </c>
      <c r="D14" s="9" t="n">
        <v>13800</v>
      </c>
    </row>
    <row r="15">
      <c r="A15" s="2" t="inlineStr">
        <is>
          <t>Puerta interior €/ud</t>
        </is>
      </c>
      <c r="B15" s="9" t="n">
        <v>312.5</v>
      </c>
      <c r="C15" s="9" t="n">
        <v>480</v>
      </c>
      <c r="D15" s="9" t="n">
        <v>804.9999999999999</v>
      </c>
    </row>
    <row r="16">
      <c r="A16" s="2" t="inlineStr">
        <is>
          <t>Puerta principal €/ud</t>
        </is>
      </c>
      <c r="B16" s="9" t="n">
        <v>1875</v>
      </c>
      <c r="C16" s="9" t="n">
        <v>3600</v>
      </c>
      <c r="D16" s="9" t="n">
        <v>5750</v>
      </c>
    </row>
    <row r="17">
      <c r="A17" s="2" t="inlineStr">
        <is>
          <t>Baño €/ud</t>
        </is>
      </c>
      <c r="B17" s="9" t="n">
        <v>3750</v>
      </c>
      <c r="C17" s="9" t="n">
        <v>9000</v>
      </c>
      <c r="D17" s="9" t="n">
        <v>13800</v>
      </c>
    </row>
    <row r="18">
      <c r="A18" s="2" t="inlineStr">
        <is>
          <t>Cocina €/ud</t>
        </is>
      </c>
      <c r="B18" s="9" t="n">
        <v>10000</v>
      </c>
      <c r="C18" s="9" t="n">
        <v>19200</v>
      </c>
      <c r="D18" s="9" t="n">
        <v>28750</v>
      </c>
    </row>
    <row r="19">
      <c r="A19" s="2" t="inlineStr">
        <is>
          <t>Climatización convencional €/m²</t>
        </is>
      </c>
      <c r="B19" s="9" t="n">
        <v>100</v>
      </c>
      <c r="C19" s="9" t="n">
        <v>96</v>
      </c>
      <c r="D19" s="9" t="n">
        <v>92</v>
      </c>
    </row>
    <row r="20">
      <c r="A20" s="2" t="inlineStr">
        <is>
          <t>Aerotermia €/m²</t>
        </is>
      </c>
      <c r="B20" s="9" t="n">
        <v>150</v>
      </c>
      <c r="C20" s="9" t="n">
        <v>144</v>
      </c>
      <c r="D20" s="9" t="n">
        <v>138</v>
      </c>
    </row>
    <row r="21">
      <c r="A21" s="2" t="inlineStr">
        <is>
          <t>Aerotermia + suelo radiante €/m²</t>
        </is>
      </c>
      <c r="B21" s="9" t="n">
        <v>237.5</v>
      </c>
      <c r="C21" s="9" t="n">
        <v>228</v>
      </c>
      <c r="D21" s="9" t="n">
        <v>218.5</v>
      </c>
    </row>
    <row r="22">
      <c r="A22" s="2" t="inlineStr">
        <is>
          <t>Domótica €/ud</t>
        </is>
      </c>
      <c r="B22" s="9" t="n">
        <v>6250</v>
      </c>
      <c r="C22" s="9" t="n">
        <v>12000</v>
      </c>
      <c r="D22" s="9" t="n">
        <v>23000</v>
      </c>
    </row>
    <row r="23">
      <c r="A23" s="2" t="inlineStr">
        <is>
          <t>Piscina €/m² lámina</t>
        </is>
      </c>
      <c r="B23" s="9" t="n">
        <v>1875</v>
      </c>
      <c r="C23" s="9" t="n">
        <v>2400</v>
      </c>
      <c r="D23" s="9" t="n">
        <v>2875</v>
      </c>
    </row>
    <row r="24">
      <c r="A24" s="2" t="inlineStr">
        <is>
          <t>Jardín/exterior €/m²</t>
        </is>
      </c>
      <c r="B24" s="9" t="n">
        <v>125</v>
      </c>
      <c r="C24" s="9" t="n">
        <v>180</v>
      </c>
      <c r="D24" s="9" t="n">
        <v>230</v>
      </c>
    </row>
    <row r="25">
      <c r="A25" s="2" t="inlineStr">
        <is>
          <t>Aparcamiento exterior €/plaza</t>
        </is>
      </c>
      <c r="B25" s="9" t="n">
        <v>5000</v>
      </c>
      <c r="C25" s="9" t="n">
        <v>7200</v>
      </c>
      <c r="D25" s="9" t="n">
        <v>9200</v>
      </c>
    </row>
    <row r="26">
      <c r="A26" s="2" t="inlineStr">
        <is>
          <t>Escalera €/tramo</t>
        </is>
      </c>
      <c r="B26" s="9" t="n">
        <v>5000</v>
      </c>
      <c r="C26" s="9" t="n">
        <v>7200</v>
      </c>
      <c r="D26" s="9" t="n">
        <v>10350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NOTAS IMPORTANTES</t>
        </is>
      </c>
    </row>
    <row r="3">
      <c r="A3" t="inlineStr">
        <is>
          <t>Los precios se han reajustado: Básica +25%, Media +20%, Alta +15%.</t>
        </is>
      </c>
    </row>
    <row r="4">
      <c r="A4" t="inlineStr">
        <is>
          <t>Las partidas marcadas como provisionales se pueden editar directamente en la hoja Precios cuando recuperes los valores históricos exactos.</t>
        </is>
      </c>
    </row>
    <row r="5">
      <c r="A5" t="inlineStr">
        <is>
          <t>Garaje incluido dentro de los 100 m²: no se añade como aparcamiento exterior.</t>
        </is>
      </c>
    </row>
    <row r="6">
      <c r="A6" t="inlineStr">
        <is>
          <t>El total aplica siempre: Coste base +5% imprevistos y después +30% beneficio.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2026-08-31T08:14:14Z</dcterms:created>
  <dcterms:modified xmlns:dcterms="http://purl.org/dc/terms/" xmlns:xsi="http://www.w3.org/2001/XMLSchema-instance" xsi:type="dcterms:W3CDTF">2026-08-31T08:14:14Z</dcterms:modified>
</cp:coreProperties>
</file>